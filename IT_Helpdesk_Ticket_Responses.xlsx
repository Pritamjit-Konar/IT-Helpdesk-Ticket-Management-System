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ashboard &amp; Reports" sheetId="2" r:id="rId6"/>
  </sheets>
  <definedNames/>
  <calcPr/>
</workbook>
</file>

<file path=xl/sharedStrings.xml><?xml version="1.0" encoding="utf-8"?>
<sst xmlns="http://schemas.openxmlformats.org/spreadsheetml/2006/main" count="111" uniqueCount="89">
  <si>
    <t>Timestamp</t>
  </si>
  <si>
    <t>Employee Name</t>
  </si>
  <si>
    <t>Employee ID</t>
  </si>
  <si>
    <t>Department</t>
  </si>
  <si>
    <t>Issue Category</t>
  </si>
  <si>
    <t>Issue Description</t>
  </si>
  <si>
    <t>Priority</t>
  </si>
  <si>
    <t>Ticket Status</t>
  </si>
  <si>
    <t>Assigned To</t>
  </si>
  <si>
    <t>Resolution Notes</t>
  </si>
  <si>
    <t>Resolved Date</t>
  </si>
  <si>
    <t>Rajesh Kumar</t>
  </si>
  <si>
    <t>HR</t>
  </si>
  <si>
    <t>Password issue</t>
  </si>
  <si>
    <t>Unable to log in to the system</t>
  </si>
  <si>
    <t>High</t>
  </si>
  <si>
    <t>Closed</t>
  </si>
  <si>
    <t>John Mehta</t>
  </si>
  <si>
    <t>Reset user password and shared new credentials via email.</t>
  </si>
  <si>
    <t>Amit Sharma</t>
  </si>
  <si>
    <t>Finance</t>
  </si>
  <si>
    <t>Software issue</t>
  </si>
  <si>
    <t>Unable to open Excel file - showing corrupted error</t>
  </si>
  <si>
    <t>Medium</t>
  </si>
  <si>
    <t>Resolved</t>
  </si>
  <si>
    <t>Support Team</t>
  </si>
  <si>
    <t>Repaired the Excel file using the built-in repair option and 
restored the previous version from backup.</t>
  </si>
  <si>
    <t>Neha Roy</t>
  </si>
  <si>
    <t>Forgot system login password</t>
  </si>
  <si>
    <t>IT Admin</t>
  </si>
  <si>
    <t>Verified user identity and resent the domain 
password as per IT policy</t>
  </si>
  <si>
    <t>Rahul Mehta</t>
  </si>
  <si>
    <t>Sales</t>
  </si>
  <si>
    <t>Hardware Issue</t>
  </si>
  <si>
    <t xml:space="preserve">Mouse not working properly </t>
  </si>
  <si>
    <t>Low</t>
  </si>
  <si>
    <t>Open</t>
  </si>
  <si>
    <t>Ritesh Agarwal</t>
  </si>
  <si>
    <t>Priya Das</t>
  </si>
  <si>
    <t>Operations</t>
  </si>
  <si>
    <t>Network issue</t>
  </si>
  <si>
    <t>Unable to connect to office WIFI</t>
  </si>
  <si>
    <t>In Progress</t>
  </si>
  <si>
    <t>Network Team</t>
  </si>
  <si>
    <t>Suman Ghosh</t>
  </si>
  <si>
    <t>Admin</t>
  </si>
  <si>
    <t>Need installation of PDF reader</t>
  </si>
  <si>
    <t>Karan Singh</t>
  </si>
  <si>
    <t>IT</t>
  </si>
  <si>
    <t>Email issue</t>
  </si>
  <si>
    <t>Unable to send emails from Outlook</t>
  </si>
  <si>
    <t>Anjali verma</t>
  </si>
  <si>
    <t>Access Issue</t>
  </si>
  <si>
    <t>Unable to access the shared drive folder</t>
  </si>
  <si>
    <t>On Hold</t>
  </si>
  <si>
    <t>Unassigned</t>
  </si>
  <si>
    <t>Vivek Patel</t>
  </si>
  <si>
    <t>Printer issue</t>
  </si>
  <si>
    <t>Printer not responding</t>
  </si>
  <si>
    <t>Rohit Sen</t>
  </si>
  <si>
    <t>System/PC issue</t>
  </si>
  <si>
    <t>Laptop running very slow</t>
  </si>
  <si>
    <t>Total Tickets</t>
  </si>
  <si>
    <t>Status Wise Counts</t>
  </si>
  <si>
    <t>Department Wise Analysis</t>
  </si>
  <si>
    <t>1. Open Tickets</t>
  </si>
  <si>
    <t>1. HR</t>
  </si>
  <si>
    <t>2. In Progress</t>
  </si>
  <si>
    <t>2. Finance</t>
  </si>
  <si>
    <t>3. On Hold</t>
  </si>
  <si>
    <t>3. Sales</t>
  </si>
  <si>
    <t>4. Resolved</t>
  </si>
  <si>
    <t>4. Operations</t>
  </si>
  <si>
    <t>5. Closed</t>
  </si>
  <si>
    <t>5. Admin</t>
  </si>
  <si>
    <t>6. IT</t>
  </si>
  <si>
    <t>Priority Wise Analysis</t>
  </si>
  <si>
    <t>Issue Wise Analysis</t>
  </si>
  <si>
    <t>1. High Priority</t>
  </si>
  <si>
    <t>1.Password</t>
  </si>
  <si>
    <t>2. Medium Priority</t>
  </si>
  <si>
    <t>2. Software</t>
  </si>
  <si>
    <t>3. Low Priority</t>
  </si>
  <si>
    <t>3. Network</t>
  </si>
  <si>
    <t>4. Printer</t>
  </si>
  <si>
    <t>5. Access</t>
  </si>
  <si>
    <t>6. Email</t>
  </si>
  <si>
    <t>7. System/PC</t>
  </si>
  <si>
    <t>8. Hardware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</si>
</sst>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M/d/yyyy"/>
    <numFmt numFmtId="166" formatCode="m/d/yyyy h:mm:ss"/>
    <numFmt numFmtId="167" formatCode="m/d/yy"/>
    <numFmt numFmtId="168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Status Wise Counts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&amp; Reports'!$B$5:$B$9</c:f>
            </c:strRef>
          </c:cat>
          <c:val>
            <c:numRef>
              <c:f>'Dashboard &amp; Reports'!$C$5:$C$9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Priority Wise Tickets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'Dashboard &amp; Reports'!$C$14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&amp; Reports'!$B$15:$B$17</c:f>
            </c:strRef>
          </c:cat>
          <c:val>
            <c:numRef>
              <c:f>'Dashboard &amp; Reports'!$C$15:$C$17</c:f>
              <c:numCache/>
            </c:numRef>
          </c:val>
        </c:ser>
        <c:overlap val="100"/>
        <c:axId val="1868827201"/>
        <c:axId val="1979495601"/>
      </c:barChart>
      <c:catAx>
        <c:axId val="18688272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Priority Wise Analysis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495601"/>
      </c:catAx>
      <c:valAx>
        <c:axId val="19794956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8272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Tickets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&amp; Reports'!$K$4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&amp; Reports'!$J$5:$J$10</c:f>
            </c:strRef>
          </c:cat>
          <c:val>
            <c:numRef>
              <c:f>'Dashboard &amp; Reports'!$K$5:$K$10</c:f>
              <c:numCache/>
            </c:numRef>
          </c:val>
        </c:ser>
        <c:axId val="223922423"/>
        <c:axId val="1224560065"/>
      </c:barChart>
      <c:catAx>
        <c:axId val="223922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 Wise Analysis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560065"/>
      </c:catAx>
      <c:valAx>
        <c:axId val="1224560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9224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Issue Wise Analysis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'Dashboard &amp; Reports'!$K$14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&amp; Reports'!$J$15:$J$22</c:f>
            </c:strRef>
          </c:cat>
          <c:val>
            <c:numRef>
              <c:f>'Dashboard &amp; Reports'!$K$15:$K$22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2</xdr:row>
      <xdr:rowOff>57150</xdr:rowOff>
    </xdr:from>
    <xdr:ext cx="2809875" cy="1724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781050</xdr:colOff>
      <xdr:row>12</xdr:row>
      <xdr:rowOff>190500</xdr:rowOff>
    </xdr:from>
    <xdr:ext cx="2809875" cy="1724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762000</xdr:colOff>
      <xdr:row>1</xdr:row>
      <xdr:rowOff>152400</xdr:rowOff>
    </xdr:from>
    <xdr:ext cx="3124200" cy="1933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619125</xdr:colOff>
      <xdr:row>12</xdr:row>
      <xdr:rowOff>190500</xdr:rowOff>
    </xdr:from>
    <xdr:ext cx="3419475" cy="2124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2" displayName="Form_Responses" name="Form_Responses" id="1">
  <tableColumns count="11">
    <tableColumn name="Timestamp" id="1"/>
    <tableColumn name="Employee Name" id="2"/>
    <tableColumn name="Employee ID" id="3"/>
    <tableColumn name="Department" id="4"/>
    <tableColumn name="Issue Category" id="5"/>
    <tableColumn name="Issue Description" id="6"/>
    <tableColumn name="Priority" id="7"/>
    <tableColumn name="Ticket Status" id="8"/>
    <tableColumn name="Assigned To" id="9"/>
    <tableColumn name="Resolution Notes" id="10"/>
    <tableColumn name="Resolved Date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6.13"/>
    <col customWidth="1" min="7" max="9" width="18.88"/>
    <col customWidth="1" min="10" max="10" width="45.75"/>
    <col customWidth="1" min="11" max="11" width="19.38"/>
    <col customWidth="1" min="12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>
        <v>46062.38630482639</v>
      </c>
      <c r="B2" s="4" t="s">
        <v>11</v>
      </c>
      <c r="C2" s="4">
        <v>1001.0</v>
      </c>
      <c r="D2" s="4" t="s">
        <v>12</v>
      </c>
      <c r="E2" s="4" t="s">
        <v>13</v>
      </c>
      <c r="F2" s="4" t="s">
        <v>14</v>
      </c>
      <c r="G2" s="4" t="s">
        <v>15</v>
      </c>
      <c r="H2" s="5" t="s">
        <v>16</v>
      </c>
      <c r="I2" s="5" t="s">
        <v>17</v>
      </c>
      <c r="J2" s="4" t="s">
        <v>18</v>
      </c>
      <c r="K2" s="6">
        <v>46063.0</v>
      </c>
    </row>
    <row r="3" ht="22.5" customHeight="1">
      <c r="A3" s="7">
        <v>46062.40427371528</v>
      </c>
      <c r="B3" s="8" t="s">
        <v>19</v>
      </c>
      <c r="C3" s="8">
        <v>1002.0</v>
      </c>
      <c r="D3" s="8" t="s">
        <v>20</v>
      </c>
      <c r="E3" s="8" t="s">
        <v>21</v>
      </c>
      <c r="F3" s="8" t="s">
        <v>22</v>
      </c>
      <c r="G3" s="8" t="s">
        <v>23</v>
      </c>
      <c r="H3" s="9" t="s">
        <v>24</v>
      </c>
      <c r="I3" s="9" t="s">
        <v>25</v>
      </c>
      <c r="J3" s="8" t="s">
        <v>26</v>
      </c>
      <c r="K3" s="10">
        <v>46063.0</v>
      </c>
    </row>
    <row r="4" ht="22.5" customHeight="1">
      <c r="A4" s="7">
        <v>46062.406315995366</v>
      </c>
      <c r="B4" s="8" t="s">
        <v>27</v>
      </c>
      <c r="C4" s="8">
        <v>1003.0</v>
      </c>
      <c r="D4" s="8" t="s">
        <v>12</v>
      </c>
      <c r="E4" s="8" t="s">
        <v>13</v>
      </c>
      <c r="F4" s="8" t="s">
        <v>28</v>
      </c>
      <c r="G4" s="8" t="s">
        <v>15</v>
      </c>
      <c r="H4" s="9" t="s">
        <v>24</v>
      </c>
      <c r="I4" s="9" t="s">
        <v>29</v>
      </c>
      <c r="J4" s="8" t="s">
        <v>30</v>
      </c>
      <c r="K4" s="11">
        <v>46063.0</v>
      </c>
    </row>
    <row r="5" ht="22.5" customHeight="1">
      <c r="A5" s="7">
        <v>46062.40805873842</v>
      </c>
      <c r="B5" s="8" t="s">
        <v>31</v>
      </c>
      <c r="C5" s="8">
        <v>1004.0</v>
      </c>
      <c r="D5" s="8" t="s">
        <v>32</v>
      </c>
      <c r="E5" s="8" t="s">
        <v>33</v>
      </c>
      <c r="F5" s="8" t="s">
        <v>34</v>
      </c>
      <c r="G5" s="8" t="s">
        <v>35</v>
      </c>
      <c r="H5" s="9" t="s">
        <v>36</v>
      </c>
      <c r="I5" s="9" t="s">
        <v>37</v>
      </c>
    </row>
    <row r="6" ht="22.5" customHeight="1">
      <c r="A6" s="7">
        <v>46062.40953739583</v>
      </c>
      <c r="B6" s="8" t="s">
        <v>38</v>
      </c>
      <c r="C6" s="8">
        <v>1005.0</v>
      </c>
      <c r="D6" s="8" t="s">
        <v>39</v>
      </c>
      <c r="E6" s="8" t="s">
        <v>40</v>
      </c>
      <c r="F6" s="8" t="s">
        <v>41</v>
      </c>
      <c r="G6" s="8" t="s">
        <v>15</v>
      </c>
      <c r="H6" s="9" t="s">
        <v>42</v>
      </c>
      <c r="I6" s="9" t="s">
        <v>43</v>
      </c>
    </row>
    <row r="7" ht="22.5" customHeight="1">
      <c r="A7" s="7">
        <v>46062.410385254625</v>
      </c>
      <c r="B7" s="8" t="s">
        <v>44</v>
      </c>
      <c r="C7" s="8">
        <v>1006.0</v>
      </c>
      <c r="D7" s="8" t="s">
        <v>45</v>
      </c>
      <c r="E7" s="8" t="s">
        <v>21</v>
      </c>
      <c r="F7" s="8" t="s">
        <v>46</v>
      </c>
      <c r="G7" s="8" t="s">
        <v>23</v>
      </c>
      <c r="H7" s="9" t="s">
        <v>36</v>
      </c>
      <c r="I7" s="9" t="s">
        <v>25</v>
      </c>
    </row>
    <row r="8" ht="22.5" customHeight="1">
      <c r="A8" s="7">
        <v>46062.41128479167</v>
      </c>
      <c r="B8" s="8" t="s">
        <v>47</v>
      </c>
      <c r="C8" s="8">
        <v>1007.0</v>
      </c>
      <c r="D8" s="8" t="s">
        <v>48</v>
      </c>
      <c r="E8" s="8" t="s">
        <v>49</v>
      </c>
      <c r="F8" s="8" t="s">
        <v>50</v>
      </c>
      <c r="G8" s="8" t="s">
        <v>15</v>
      </c>
      <c r="H8" s="9" t="s">
        <v>42</v>
      </c>
      <c r="I8" s="9" t="s">
        <v>25</v>
      </c>
    </row>
    <row r="9" ht="22.5" customHeight="1">
      <c r="A9" s="7">
        <v>46062.41211841435</v>
      </c>
      <c r="B9" s="8" t="s">
        <v>51</v>
      </c>
      <c r="C9" s="8">
        <v>1008.0</v>
      </c>
      <c r="D9" s="8" t="s">
        <v>12</v>
      </c>
      <c r="E9" s="8" t="s">
        <v>52</v>
      </c>
      <c r="F9" s="8" t="s">
        <v>53</v>
      </c>
      <c r="G9" s="8" t="s">
        <v>23</v>
      </c>
      <c r="H9" s="9" t="s">
        <v>54</v>
      </c>
      <c r="I9" s="9" t="s">
        <v>55</v>
      </c>
    </row>
    <row r="10" ht="22.5" customHeight="1">
      <c r="A10" s="7">
        <v>46062.413077812496</v>
      </c>
      <c r="B10" s="8" t="s">
        <v>56</v>
      </c>
      <c r="C10" s="8">
        <v>1009.0</v>
      </c>
      <c r="D10" s="8" t="s">
        <v>20</v>
      </c>
      <c r="E10" s="8" t="s">
        <v>57</v>
      </c>
      <c r="F10" s="8" t="s">
        <v>58</v>
      </c>
      <c r="G10" s="8" t="s">
        <v>23</v>
      </c>
      <c r="H10" s="9" t="s">
        <v>42</v>
      </c>
      <c r="I10" s="9" t="s">
        <v>25</v>
      </c>
    </row>
    <row r="11" ht="22.5" customHeight="1">
      <c r="A11" s="7">
        <v>46062.41398224537</v>
      </c>
      <c r="B11" s="8" t="s">
        <v>59</v>
      </c>
      <c r="C11" s="8">
        <v>1010.0</v>
      </c>
      <c r="D11" s="8" t="s">
        <v>48</v>
      </c>
      <c r="E11" s="8" t="s">
        <v>60</v>
      </c>
      <c r="F11" s="8" t="s">
        <v>61</v>
      </c>
      <c r="G11" s="8" t="s">
        <v>35</v>
      </c>
      <c r="H11" s="9" t="s">
        <v>54</v>
      </c>
      <c r="I11" s="9" t="s">
        <v>25</v>
      </c>
    </row>
    <row r="12" ht="22.5" customHeight="1">
      <c r="A12" s="3"/>
      <c r="B12" s="4"/>
      <c r="C12" s="4"/>
      <c r="D12" s="4"/>
      <c r="E12" s="4"/>
      <c r="F12" s="4"/>
      <c r="G12" s="4"/>
      <c r="H12" s="5"/>
      <c r="I12" s="12"/>
      <c r="J12" s="4"/>
      <c r="K12" s="6"/>
    </row>
  </sheetData>
  <conditionalFormatting sqref="H2:H1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H2:H12">
      <formula1>"Open,In Progress,On Hold,Resolved,Closed"</formula1>
    </dataValidation>
    <dataValidation type="list" allowBlank="1" sqref="I2:I12">
      <formula1>"John Mehta,Ritesh Agarwal,Susanta Das,IT Admin,Network Team,Support Team,Unassigned"</formula1>
    </dataValidation>
    <dataValidation type="custom" allowBlank="1" showDropDown="1" sqref="A2:A1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  <col customWidth="1" min="10" max="10" width="22.0"/>
  </cols>
  <sheetData>
    <row r="2">
      <c r="B2" s="13" t="s">
        <v>62</v>
      </c>
      <c r="C2" s="14">
        <f>COUNTA('Form Responses 1'!A2:A11)</f>
        <v>10</v>
      </c>
    </row>
    <row r="4">
      <c r="B4" s="15" t="s">
        <v>63</v>
      </c>
      <c r="J4" s="15" t="s">
        <v>64</v>
      </c>
    </row>
    <row r="5">
      <c r="B5" s="16" t="s">
        <v>65</v>
      </c>
      <c r="C5" s="16">
        <v>2.0</v>
      </c>
      <c r="J5" s="16" t="s">
        <v>66</v>
      </c>
      <c r="K5" s="16">
        <v>3.0</v>
      </c>
    </row>
    <row r="6">
      <c r="B6" s="16" t="s">
        <v>67</v>
      </c>
      <c r="C6" s="16">
        <v>3.0</v>
      </c>
      <c r="J6" s="16" t="s">
        <v>68</v>
      </c>
      <c r="K6" s="16">
        <v>2.0</v>
      </c>
    </row>
    <row r="7">
      <c r="B7" s="16" t="s">
        <v>69</v>
      </c>
      <c r="C7" s="16">
        <v>2.0</v>
      </c>
      <c r="J7" s="16" t="s">
        <v>70</v>
      </c>
      <c r="K7" s="16">
        <v>1.0</v>
      </c>
    </row>
    <row r="8">
      <c r="B8" s="16" t="s">
        <v>71</v>
      </c>
      <c r="C8" s="16">
        <v>2.0</v>
      </c>
      <c r="J8" s="16" t="s">
        <v>72</v>
      </c>
      <c r="K8" s="16">
        <v>1.0</v>
      </c>
    </row>
    <row r="9">
      <c r="B9" s="16" t="s">
        <v>73</v>
      </c>
      <c r="C9" s="16">
        <v>1.0</v>
      </c>
      <c r="J9" s="16" t="s">
        <v>74</v>
      </c>
      <c r="K9" s="16">
        <v>1.0</v>
      </c>
    </row>
    <row r="10">
      <c r="J10" s="16" t="s">
        <v>75</v>
      </c>
      <c r="K10" s="16">
        <v>2.0</v>
      </c>
    </row>
    <row r="14">
      <c r="B14" s="15" t="s">
        <v>76</v>
      </c>
      <c r="J14" s="15" t="s">
        <v>77</v>
      </c>
    </row>
    <row r="15">
      <c r="B15" s="16" t="s">
        <v>78</v>
      </c>
      <c r="C15" s="16">
        <v>4.0</v>
      </c>
      <c r="J15" s="16" t="s">
        <v>79</v>
      </c>
      <c r="K15" s="16">
        <v>2.0</v>
      </c>
    </row>
    <row r="16">
      <c r="B16" s="16" t="s">
        <v>80</v>
      </c>
      <c r="C16" s="16">
        <v>4.0</v>
      </c>
      <c r="J16" s="16" t="s">
        <v>81</v>
      </c>
      <c r="K16" s="16">
        <v>2.0</v>
      </c>
    </row>
    <row r="17">
      <c r="B17" s="16" t="s">
        <v>82</v>
      </c>
      <c r="C17" s="16">
        <v>2.0</v>
      </c>
      <c r="J17" s="16" t="s">
        <v>83</v>
      </c>
      <c r="K17" s="16">
        <v>1.0</v>
      </c>
    </row>
    <row r="18">
      <c r="J18" s="16" t="s">
        <v>84</v>
      </c>
      <c r="K18" s="16">
        <v>1.0</v>
      </c>
    </row>
    <row r="19">
      <c r="J19" s="16" t="s">
        <v>85</v>
      </c>
      <c r="K19" s="16">
        <v>1.0</v>
      </c>
    </row>
    <row r="20">
      <c r="J20" s="16" t="s">
        <v>86</v>
      </c>
      <c r="K20" s="16">
        <v>1.0</v>
      </c>
    </row>
    <row r="21">
      <c r="J21" s="16" t="s">
        <v>87</v>
      </c>
      <c r="K21" s="16">
        <v>1.0</v>
      </c>
    </row>
    <row r="22">
      <c r="J22" s="16" t="s">
        <v>88</v>
      </c>
      <c r="K22" s="16">
        <v>1.0</v>
      </c>
    </row>
  </sheetData>
  <drawing r:id="rId1"/>
</worksheet>
</file>